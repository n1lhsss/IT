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1" l="1"/>
  <c r="A25" i="1"/>
  <c r="A24" i="1"/>
  <c r="A23" i="1"/>
  <c r="Q3" i="1"/>
  <c r="Q4" i="1"/>
  <c r="Q5" i="1"/>
  <c r="Q6" i="1"/>
  <c r="Q7" i="1"/>
  <c r="Q8" i="1"/>
  <c r="Q2" i="1"/>
  <c r="O3" i="1"/>
  <c r="O4" i="1"/>
  <c r="O5" i="1"/>
  <c r="O6" i="1"/>
  <c r="O7" i="1"/>
  <c r="O8" i="1"/>
  <c r="O2" i="1"/>
  <c r="M7" i="1"/>
  <c r="M6" i="1"/>
  <c r="M5" i="1"/>
  <c r="M4" i="1"/>
  <c r="A17" i="1"/>
  <c r="A16" i="1"/>
  <c r="A15" i="1"/>
  <c r="A14" i="1"/>
  <c r="A13" i="1"/>
  <c r="A12" i="1"/>
  <c r="A11" i="1"/>
  <c r="I3" i="1"/>
  <c r="I4" i="1"/>
  <c r="I5" i="1"/>
  <c r="I6" i="1"/>
  <c r="I7" i="1"/>
  <c r="I8" i="1"/>
  <c r="I2" i="1"/>
  <c r="H4" i="1"/>
  <c r="H3" i="1"/>
  <c r="H5" i="1"/>
  <c r="H6" i="1"/>
  <c r="H7" i="1"/>
  <c r="H8" i="1"/>
  <c r="H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<sst xmlns="http://schemas.openxmlformats.org/spreadsheetml/2006/main" count="11" uniqueCount="11">
  <si>
    <t>Диаметр (мм)</t>
  </si>
  <si>
    <t>|m-3|</t>
  </si>
  <si>
    <t>Длина дуги</t>
  </si>
  <si>
    <t>Дуга через РАДИАНЫ</t>
  </si>
  <si>
    <t>№ детали</t>
  </si>
  <si>
    <t>Радиус R (мм)</t>
  </si>
  <si>
    <t>Высота h (мм)</t>
  </si>
  <si>
    <t>Масса m (кг)</t>
  </si>
  <si>
    <t>Длина L (мм)</t>
  </si>
  <si>
    <t>√V</t>
  </si>
  <si>
    <t>№п/п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</si>
</sst>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#,##0.00\ &quot;₽&quot;"/>
    <numFmt numFmtId="17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65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17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workbookViewId="0">
      <selection activeCell="D15" sqref="D15"/>
    </sheetView>
  </sheetViews>
  <sheetFormatPr defaultRowHeight="15" x14ac:dyDescent="0.25"/>
  <cols>
    <col min="1" max="1" width="12" bestFit="1" customWidth="1"/>
    <col min="2" max="2" width="13.7109375" bestFit="1" customWidth="1"/>
    <col min="3" max="3" width="13.85546875" bestFit="1" customWidth="1"/>
    <col min="4" max="4" width="12.140625" bestFit="1" customWidth="1"/>
    <col min="5" max="5" width="12.85546875" bestFit="1" customWidth="1"/>
    <col min="6" max="6" width="14" bestFit="1" customWidth="1"/>
    <col min="7" max="7" width="13.140625" bestFit="1" customWidth="1"/>
    <col min="8" max="8" width="9.28515625" bestFit="1" customWidth="1"/>
    <col min="11" max="11" width="5.5703125" customWidth="1"/>
    <col min="13" max="13" width="11.5703125" bestFit="1" customWidth="1"/>
    <col min="15" max="15" width="11.28515625" bestFit="1" customWidth="1"/>
    <col min="17" max="17" width="21" bestFit="1" customWidth="1"/>
    <col min="20" max="20" width="11.5703125" bestFit="1" customWidth="1"/>
    <col min="24" max="24" width="11.28515625" bestFit="1" customWidth="1"/>
    <col min="26" max="26" width="21" bestFit="1" customWidth="1"/>
  </cols>
  <sheetData>
    <row r="1" spans="1:20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0</v>
      </c>
      <c r="G1" s="4" t="s">
        <v>10</v>
      </c>
      <c r="H1" s="5" t="s">
        <v>9</v>
      </c>
      <c r="I1" s="4" t="s">
        <v>1</v>
      </c>
      <c r="K1">
        <v>3</v>
      </c>
      <c r="M1">
        <v>100000</v>
      </c>
      <c r="O1" t="s">
        <v>2</v>
      </c>
      <c r="P1">
        <v>60</v>
      </c>
      <c r="Q1" t="s">
        <v>3</v>
      </c>
    </row>
    <row r="2" spans="1:20" x14ac:dyDescent="0.25">
      <c r="A2" s="3">
        <v>1</v>
      </c>
      <c r="B2" s="3">
        <v>12.5</v>
      </c>
      <c r="C2" s="3">
        <v>30</v>
      </c>
      <c r="D2" s="3">
        <v>2.4</v>
      </c>
      <c r="E2" s="3">
        <v>145</v>
      </c>
      <c r="F2" s="3">
        <f>2*B2</f>
        <v>25</v>
      </c>
      <c r="G2" s="3">
        <v>1</v>
      </c>
      <c r="H2" s="3">
        <f>SQRT(G2)</f>
        <v>1</v>
      </c>
      <c r="I2" s="3">
        <f>ABS(D2-$K$1)</f>
        <v>0.60000000000000009</v>
      </c>
      <c r="M2" s="1">
        <v>0.12</v>
      </c>
      <c r="O2">
        <f>PI()*B2*$P$1/180</f>
        <v>13.089969389957471</v>
      </c>
      <c r="Q2">
        <f>B2*RADIANS($P$1)</f>
        <v>13.089969389957471</v>
      </c>
      <c r="T2" s="1"/>
    </row>
    <row r="3" spans="1:20" x14ac:dyDescent="0.25">
      <c r="A3" s="3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ref="F3:F8" si="0">2*B3</f>
        <v>16.600000000000001</v>
      </c>
      <c r="G3" s="3">
        <v>2</v>
      </c>
      <c r="H3" s="3">
        <f t="shared" ref="H3:H8" si="1">SQRT(G3)</f>
        <v>1.4142135623730951</v>
      </c>
      <c r="I3" s="3">
        <f t="shared" ref="I3:I8" si="2">ABS(D3-$K$1)</f>
        <v>1.9</v>
      </c>
      <c r="M3">
        <v>5</v>
      </c>
      <c r="O3">
        <f t="shared" ref="O3:O8" si="3">PI()*B3*$P$1/180</f>
        <v>8.6917396749317621</v>
      </c>
      <c r="Q3">
        <f t="shared" ref="Q3:Q8" si="4">B3*RADIANS($P$1)</f>
        <v>8.6917396749317604</v>
      </c>
    </row>
    <row r="4" spans="1:20" x14ac:dyDescent="0.25">
      <c r="A4" s="3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v>3</v>
      </c>
      <c r="H4" s="3">
        <f t="shared" si="1"/>
        <v>1.7320508075688772</v>
      </c>
      <c r="I4" s="3">
        <f t="shared" si="2"/>
        <v>1</v>
      </c>
      <c r="M4" s="2">
        <f>M1*POWER(1+M2,M3)</f>
        <v>176234.16832000006</v>
      </c>
      <c r="O4">
        <f t="shared" si="3"/>
        <v>16.441001553786581</v>
      </c>
      <c r="Q4">
        <f t="shared" si="4"/>
        <v>16.441001553786581</v>
      </c>
      <c r="T4" s="2"/>
    </row>
    <row r="5" spans="1:20" x14ac:dyDescent="0.25">
      <c r="A5" s="3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v>4</v>
      </c>
      <c r="H5" s="3">
        <f t="shared" si="1"/>
        <v>2</v>
      </c>
      <c r="I5" s="3">
        <f t="shared" si="2"/>
        <v>2.2999999999999998</v>
      </c>
      <c r="M5" s="2">
        <f>M1*EXP(M2*M3)</f>
        <v>182211.88003905088</v>
      </c>
      <c r="O5">
        <f t="shared" si="3"/>
        <v>6.4926248174189052</v>
      </c>
      <c r="Q5">
        <f t="shared" si="4"/>
        <v>6.4926248174189052</v>
      </c>
      <c r="T5" s="2"/>
    </row>
    <row r="6" spans="1:20" x14ac:dyDescent="0.25">
      <c r="A6" s="3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v>5</v>
      </c>
      <c r="H6" s="3">
        <f t="shared" si="1"/>
        <v>2.2360679774997898</v>
      </c>
      <c r="I6" s="3">
        <f t="shared" si="2"/>
        <v>3.5</v>
      </c>
      <c r="M6">
        <f>72/(M2*100)</f>
        <v>6</v>
      </c>
      <c r="O6">
        <f t="shared" si="3"/>
        <v>21.048670779051616</v>
      </c>
      <c r="Q6">
        <f t="shared" si="4"/>
        <v>21.048670779051612</v>
      </c>
    </row>
    <row r="7" spans="1:20" x14ac:dyDescent="0.25">
      <c r="A7" s="3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v>6</v>
      </c>
      <c r="H7" s="3">
        <f t="shared" si="1"/>
        <v>2.4494897427831779</v>
      </c>
      <c r="I7" s="3">
        <f t="shared" si="2"/>
        <v>1.1000000000000001</v>
      </c>
      <c r="M7" s="7">
        <f>LN(2)/LN(1+M2)</f>
        <v>6.1162553741996994</v>
      </c>
      <c r="O7">
        <f t="shared" si="3"/>
        <v>10.890854532444616</v>
      </c>
      <c r="Q7">
        <f t="shared" si="4"/>
        <v>10.890854532444616</v>
      </c>
      <c r="T7" s="7"/>
    </row>
    <row r="8" spans="1:20" x14ac:dyDescent="0.25">
      <c r="A8" s="3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v>7</v>
      </c>
      <c r="H8" s="3">
        <f t="shared" si="1"/>
        <v>2.6457513110645907</v>
      </c>
      <c r="I8" s="3">
        <f t="shared" si="2"/>
        <v>2.2000000000000002</v>
      </c>
      <c r="O8">
        <f t="shared" si="3"/>
        <v>19.792033717615695</v>
      </c>
      <c r="Q8">
        <f t="shared" si="4"/>
        <v>19.792033717615695</v>
      </c>
    </row>
    <row r="11" spans="1:20" x14ac:dyDescent="0.25">
      <c r="A11" s="3">
        <f>SUM(D2:D8)</f>
        <v>21.799999999999997</v>
      </c>
    </row>
    <row r="12" spans="1:20" x14ac:dyDescent="0.25">
      <c r="A12" s="3">
        <f>SUMIF(D2:D8,"&gt;2")</f>
        <v>18.100000000000001</v>
      </c>
    </row>
    <row r="13" spans="1:20" x14ac:dyDescent="0.25">
      <c r="A13" s="3">
        <f>SUMPRODUCT(D2:D8,E2:E8)/SUM(E2:E8)</f>
        <v>4.0744612928970474</v>
      </c>
    </row>
    <row r="14" spans="1:20" x14ac:dyDescent="0.25">
      <c r="A14" s="3">
        <f>COUNTIF(D2:D8,"&gt;2")</f>
        <v>4</v>
      </c>
    </row>
    <row r="15" spans="1:20" x14ac:dyDescent="0.25">
      <c r="A15" s="3">
        <f>AVERAGE(D2:D8)</f>
        <v>3.1142857142857139</v>
      </c>
    </row>
    <row r="16" spans="1:20" x14ac:dyDescent="0.25">
      <c r="A16" s="3">
        <f>MAX(D2:D8)</f>
        <v>6.5</v>
      </c>
    </row>
    <row r="17" spans="1:1" x14ac:dyDescent="0.25">
      <c r="A17" s="3">
        <f>MIN(D2:D8)</f>
        <v>0.7</v>
      </c>
    </row>
    <row r="18" spans="1:1" x14ac:dyDescent="0.25">
      <c r="A18" s="6"/>
    </row>
    <row r="20" spans="1:1" x14ac:dyDescent="0.25">
      <c r="A20">
        <v>500000</v>
      </c>
    </row>
    <row r="21" spans="1:1" x14ac:dyDescent="0.25">
      <c r="A21" s="1">
        <v>0.18</v>
      </c>
    </row>
    <row r="22" spans="1:1" x14ac:dyDescent="0.25">
      <c r="A22">
        <v>3</v>
      </c>
    </row>
    <row r="23" spans="1:1" x14ac:dyDescent="0.25">
      <c r="A23" s="2">
        <f>A20*POWER(1+A21,A22)</f>
        <v>821515.99999999988</v>
      </c>
    </row>
    <row r="24" spans="1:1" x14ac:dyDescent="0.25">
      <c r="A24" s="2">
        <f>A20*EXP(A21*A22)</f>
        <v>858003.43109242932</v>
      </c>
    </row>
    <row r="25" spans="1:1" x14ac:dyDescent="0.25">
      <c r="A25">
        <f>72/(A21*100)</f>
        <v>4</v>
      </c>
    </row>
    <row r="26" spans="1:1" x14ac:dyDescent="0.25">
      <c r="A26" s="7">
        <f>LN(2)/LN(1+A21)</f>
        <v>4.1878351335123218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2026-09-23T11:24:31Z</dcterms:modified>
</cp:coreProperties>
</file>