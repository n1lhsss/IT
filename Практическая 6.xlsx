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6" i="1"/>
  <c r="F44" i="1"/>
  <c r="F43" i="1"/>
  <c r="F42" i="1"/>
  <c r="E49" i="1"/>
  <c r="E48" i="1"/>
  <c r="E47" i="1"/>
  <c r="E46" i="1"/>
  <c r="E45" i="1"/>
  <c r="E27" i="1"/>
  <c r="E44" i="1" s="1"/>
  <c r="E28" i="1"/>
  <c r="E29" i="1"/>
  <c r="E30" i="1"/>
  <c r="E31" i="1"/>
  <c r="E32" i="1"/>
  <c r="E33" i="1"/>
  <c r="E34" i="1"/>
  <c r="E35" i="1"/>
  <c r="E36" i="1"/>
  <c r="E37" i="1"/>
  <c r="E38" i="1"/>
  <c r="E42" i="1" s="1"/>
  <c r="E39" i="1"/>
  <c r="E40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26" i="1"/>
  <c r="E2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D19" i="1"/>
  <c r="E19" i="1"/>
  <c r="D20" i="1"/>
  <c r="E20" i="1"/>
  <c r="C20" i="1"/>
  <c r="C19" i="1"/>
  <c r="D18" i="1"/>
  <c r="E18" i="1"/>
  <c r="D17" i="1"/>
  <c r="E17" i="1"/>
  <c r="C18" i="1"/>
  <c r="C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E43" i="1" l="1"/>
</calcChain>
</file>

<file path=xl/sharedStrings.xml><?xml version="1.0" encoding="utf-8"?>
<sst xmlns="http://schemas.openxmlformats.org/spreadsheetml/2006/main" count="63" uniqueCount="57">
  <si>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</si>
  <si>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</si>
  <si>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</si>
  <si>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</si>
  <si>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</si>
  <si>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</si>
  <si>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</si>
  <si>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</si>
  <si>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</si>
  <si>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</si>
  <si>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Козлов К.К.</t>
  </si>
  <si>
    <t>Лебедева Л.Л.</t>
  </si>
  <si>
    <t>Соколов С.С.</t>
  </si>
  <si>
    <t>Павлова П.П.</t>
  </si>
  <si>
    <t>Егоров Е.Е.</t>
  </si>
  <si>
    <t>Новиков Н.Н.</t>
  </si>
  <si>
    <t>Морозова М.М.</t>
  </si>
  <si>
    <t>Фёдорова Ф.Ф.</t>
  </si>
  <si>
    <t>Степанова С.С.</t>
  </si>
  <si>
    <t>Волков В.В.</t>
  </si>
  <si>
    <t>Смирнова С.С.</t>
  </si>
  <si>
    <t>Кузнецов К.К.</t>
  </si>
  <si>
    <t>Сидорова С.С.</t>
  </si>
  <si>
    <t>Петров В.В.</t>
  </si>
  <si>
    <t>МИНИМУМ</t>
  </si>
  <si>
    <t>МАКСИМУМ</t>
  </si>
  <si>
    <t>МЕДИАНА</t>
  </si>
  <si>
    <t>МОДА</t>
  </si>
  <si>
    <t>Роутер</t>
  </si>
  <si>
    <t>Бумага А4</t>
  </si>
  <si>
    <t>Картридж</t>
  </si>
  <si>
    <t>USB-хаб</t>
  </si>
  <si>
    <t>Коврик для мыши</t>
  </si>
  <si>
    <t>Наушники</t>
  </si>
  <si>
    <t>Веб-камера</t>
  </si>
  <si>
    <t>Внешний HDD</t>
  </si>
  <si>
    <t>Флешка 32ГБ</t>
  </si>
  <si>
    <t>Сканер</t>
  </si>
  <si>
    <t>Принтер</t>
  </si>
  <si>
    <t>Мышь</t>
  </si>
  <si>
    <t>Клавиатура</t>
  </si>
  <si>
    <t>Монитор</t>
  </si>
  <si>
    <t>Ноутбук</t>
  </si>
  <si>
    <t>Товар</t>
  </si>
  <si>
    <t>Цена (руб.)</t>
  </si>
  <si>
    <t>Продано (шт.)</t>
  </si>
  <si>
    <t>Выручка</t>
  </si>
  <si>
    <t>Категория</t>
  </si>
  <si>
    <t>СУММА</t>
  </si>
  <si>
    <t>СРЕДНЕЕ</t>
  </si>
  <si>
    <t xml:space="preserve">СТАНДАРТ. ОТКЛ. </t>
  </si>
  <si>
    <t>ДИСПЕРСИЯ</t>
  </si>
  <si>
    <t>КОЛ-ВО ТОВАРОВ "ТОП"</t>
  </si>
  <si>
    <t>СУММА "ТОП"</t>
  </si>
  <si>
    <t>СРЕДНЯЯ ВЫРУЧКА "ТОП"</t>
  </si>
  <si>
    <t>Корреляция</t>
  </si>
  <si>
    <t xml:space="preserve">Доля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</si>
</sst>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2" fillId="0" borderId="1" xfId="0" applyFont="1" applyFill="1" applyBorder="1"/>
    <xf numFmtId="0" fontId="0" fillId="0" borderId="1" xfId="0" applyFill="1" applyBorder="1"/>
    <xf numFmtId="168" fontId="0" fillId="0" borderId="1" xfId="0" applyNumberFormat="1" applyBorder="1"/>
    <xf numFmtId="168" fontId="0" fillId="0" borderId="0" xfId="0" applyNumberFormat="1"/>
    <xf numFmtId="1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168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0" fontId="0" fillId="0" borderId="1" xfId="0" applyNumberFormat="1" applyBorder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topLeftCell="A22" workbookViewId="0">
      <selection activeCell="H27" sqref="H27"/>
    </sheetView>
  </sheetViews>
  <sheetFormatPr defaultRowHeight="15" x14ac:dyDescent="0.25"/>
  <cols>
    <col min="1" max="1" width="17.7109375" bestFit="1" customWidth="1"/>
    <col min="2" max="2" width="17.5703125" bestFit="1" customWidth="1"/>
    <col min="3" max="3" width="12.42578125" bestFit="1" customWidth="1"/>
    <col min="4" max="4" width="17.28515625" bestFit="1" customWidth="1"/>
    <col min="5" max="5" width="15.28515625" bestFit="1" customWidth="1"/>
    <col min="6" max="6" width="14.140625" bestFit="1" customWidth="1"/>
    <col min="7" max="7" width="24.5703125" bestFit="1" customWidth="1"/>
    <col min="8" max="8" width="12.140625" bestFit="1" customWidth="1"/>
    <col min="9" max="9" width="14.28515625" bestFit="1" customWidth="1"/>
    <col min="10" max="10" width="10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3">
        <v>85</v>
      </c>
      <c r="D2" s="3">
        <v>78</v>
      </c>
      <c r="E2" s="3">
        <v>92</v>
      </c>
      <c r="F2" s="3">
        <f>SUM(C2:E2)</f>
        <v>255</v>
      </c>
      <c r="G2" s="3">
        <f>AVERAGE(C2:E2)</f>
        <v>85</v>
      </c>
      <c r="H2" s="2"/>
      <c r="I2" s="2">
        <f>_xlfn.RANK.EQ(F2, $F$2:$F$16, 0)</f>
        <v>6</v>
      </c>
    </row>
    <row r="3" spans="1:9" x14ac:dyDescent="0.25">
      <c r="A3" s="2">
        <v>2</v>
      </c>
      <c r="B3" s="2" t="s">
        <v>23</v>
      </c>
      <c r="C3" s="3">
        <v>72</v>
      </c>
      <c r="D3" s="3">
        <v>65</v>
      </c>
      <c r="E3" s="3">
        <v>80</v>
      </c>
      <c r="F3" s="3">
        <f>SUM(C3:E3)</f>
        <v>217</v>
      </c>
      <c r="G3" s="3">
        <f t="shared" ref="G3:G16" si="0">AVERAGE(C3:E3)</f>
        <v>72.333333333333329</v>
      </c>
      <c r="H3" s="2"/>
      <c r="I3" s="2">
        <f t="shared" ref="I3:I16" si="1">_xlfn.RANK.EQ(F3, $F$2:$F$16, 0)</f>
        <v>10</v>
      </c>
    </row>
    <row r="4" spans="1:9" x14ac:dyDescent="0.25">
      <c r="A4" s="2">
        <v>3</v>
      </c>
      <c r="B4" s="2" t="s">
        <v>22</v>
      </c>
      <c r="C4" s="3">
        <v>95</v>
      </c>
      <c r="D4" s="3">
        <v>88</v>
      </c>
      <c r="E4" s="3">
        <v>98</v>
      </c>
      <c r="F4" s="3">
        <f t="shared" ref="F3:F16" si="2">SUM(C4:E4)</f>
        <v>281</v>
      </c>
      <c r="G4" s="3">
        <f t="shared" si="0"/>
        <v>93.666666666666671</v>
      </c>
      <c r="H4" s="2"/>
      <c r="I4" s="2">
        <f t="shared" si="1"/>
        <v>2</v>
      </c>
    </row>
    <row r="5" spans="1:9" x14ac:dyDescent="0.25">
      <c r="A5" s="2">
        <v>4</v>
      </c>
      <c r="B5" s="2" t="s">
        <v>21</v>
      </c>
      <c r="C5" s="3">
        <v>65</v>
      </c>
      <c r="D5" s="3">
        <v>55</v>
      </c>
      <c r="E5" s="3">
        <v>70</v>
      </c>
      <c r="F5" s="3">
        <f t="shared" si="2"/>
        <v>190</v>
      </c>
      <c r="G5" s="3">
        <f t="shared" si="0"/>
        <v>63.333333333333336</v>
      </c>
      <c r="H5" s="2"/>
      <c r="I5" s="2">
        <f t="shared" si="1"/>
        <v>13</v>
      </c>
    </row>
    <row r="6" spans="1:9" x14ac:dyDescent="0.25">
      <c r="A6" s="2">
        <v>5</v>
      </c>
      <c r="B6" s="2" t="s">
        <v>20</v>
      </c>
      <c r="C6" s="3">
        <v>78</v>
      </c>
      <c r="D6" s="3">
        <v>82</v>
      </c>
      <c r="E6" s="3">
        <v>85</v>
      </c>
      <c r="F6" s="3">
        <f t="shared" si="2"/>
        <v>245</v>
      </c>
      <c r="G6" s="3">
        <f t="shared" si="0"/>
        <v>81.666666666666671</v>
      </c>
      <c r="H6" s="2"/>
      <c r="I6" s="2">
        <f t="shared" si="1"/>
        <v>7</v>
      </c>
    </row>
    <row r="7" spans="1:9" x14ac:dyDescent="0.25">
      <c r="A7" s="2">
        <v>6</v>
      </c>
      <c r="B7" s="2" t="s">
        <v>19</v>
      </c>
      <c r="C7" s="3">
        <v>88</v>
      </c>
      <c r="D7" s="3">
        <v>90</v>
      </c>
      <c r="E7" s="3">
        <v>95</v>
      </c>
      <c r="F7" s="3">
        <f t="shared" si="2"/>
        <v>273</v>
      </c>
      <c r="G7" s="3">
        <f t="shared" si="0"/>
        <v>91</v>
      </c>
      <c r="H7" s="2"/>
      <c r="I7" s="2">
        <f t="shared" si="1"/>
        <v>4</v>
      </c>
    </row>
    <row r="8" spans="1:9" x14ac:dyDescent="0.25">
      <c r="A8" s="2">
        <v>7</v>
      </c>
      <c r="B8" s="2" t="s">
        <v>16</v>
      </c>
      <c r="C8" s="3">
        <v>65</v>
      </c>
      <c r="D8" s="3">
        <v>70</v>
      </c>
      <c r="E8" s="3">
        <v>68</v>
      </c>
      <c r="F8" s="3">
        <f t="shared" si="2"/>
        <v>203</v>
      </c>
      <c r="G8" s="3">
        <f t="shared" si="0"/>
        <v>67.666666666666671</v>
      </c>
      <c r="H8" s="2"/>
      <c r="I8" s="2">
        <f t="shared" si="1"/>
        <v>12</v>
      </c>
    </row>
    <row r="9" spans="1:9" x14ac:dyDescent="0.25">
      <c r="A9" s="2">
        <v>8</v>
      </c>
      <c r="B9" s="2" t="s">
        <v>15</v>
      </c>
      <c r="C9" s="3">
        <v>92</v>
      </c>
      <c r="D9" s="3">
        <v>85</v>
      </c>
      <c r="E9" s="3">
        <v>88</v>
      </c>
      <c r="F9" s="3">
        <f t="shared" si="2"/>
        <v>265</v>
      </c>
      <c r="G9" s="3">
        <f t="shared" si="0"/>
        <v>88.333333333333329</v>
      </c>
      <c r="H9" s="2"/>
      <c r="I9" s="2">
        <f t="shared" si="1"/>
        <v>5</v>
      </c>
    </row>
    <row r="10" spans="1:9" x14ac:dyDescent="0.25">
      <c r="A10" s="2">
        <v>9</v>
      </c>
      <c r="B10" s="2" t="s">
        <v>17</v>
      </c>
      <c r="C10" s="3">
        <v>55</v>
      </c>
      <c r="D10" s="3">
        <v>60</v>
      </c>
      <c r="E10" s="3">
        <v>58</v>
      </c>
      <c r="F10" s="3">
        <f t="shared" si="2"/>
        <v>173</v>
      </c>
      <c r="G10" s="3">
        <f t="shared" si="0"/>
        <v>57.666666666666664</v>
      </c>
      <c r="H10" s="2"/>
      <c r="I10" s="2">
        <f t="shared" si="1"/>
        <v>15</v>
      </c>
    </row>
    <row r="11" spans="1:9" x14ac:dyDescent="0.25">
      <c r="A11" s="2">
        <v>10</v>
      </c>
      <c r="B11" s="2" t="s">
        <v>14</v>
      </c>
      <c r="C11" s="3">
        <v>80</v>
      </c>
      <c r="D11" s="3">
        <v>75</v>
      </c>
      <c r="E11" s="3">
        <v>82</v>
      </c>
      <c r="F11" s="3">
        <f t="shared" si="2"/>
        <v>237</v>
      </c>
      <c r="G11" s="3">
        <f t="shared" si="0"/>
        <v>79</v>
      </c>
      <c r="H11" s="2"/>
      <c r="I11" s="2">
        <f t="shared" si="1"/>
        <v>8</v>
      </c>
    </row>
    <row r="12" spans="1:9" x14ac:dyDescent="0.25">
      <c r="A12" s="2">
        <v>11</v>
      </c>
      <c r="B12" s="2" t="s">
        <v>13</v>
      </c>
      <c r="C12" s="3">
        <v>70</v>
      </c>
      <c r="D12" s="3">
        <v>68</v>
      </c>
      <c r="E12" s="3">
        <v>72</v>
      </c>
      <c r="F12" s="3">
        <f t="shared" si="2"/>
        <v>210</v>
      </c>
      <c r="G12" s="3">
        <f t="shared" si="0"/>
        <v>70</v>
      </c>
      <c r="H12" s="2"/>
      <c r="I12" s="2">
        <f t="shared" si="1"/>
        <v>11</v>
      </c>
    </row>
    <row r="13" spans="1:9" x14ac:dyDescent="0.25">
      <c r="A13" s="2">
        <v>12</v>
      </c>
      <c r="B13" s="2" t="s">
        <v>12</v>
      </c>
      <c r="C13" s="3">
        <v>90</v>
      </c>
      <c r="D13" s="3">
        <v>92</v>
      </c>
      <c r="E13" s="3">
        <v>94</v>
      </c>
      <c r="F13" s="3">
        <f t="shared" si="2"/>
        <v>276</v>
      </c>
      <c r="G13" s="3">
        <f t="shared" si="0"/>
        <v>92</v>
      </c>
      <c r="H13" s="2"/>
      <c r="I13" s="2">
        <f t="shared" si="1"/>
        <v>3</v>
      </c>
    </row>
    <row r="14" spans="1:9" x14ac:dyDescent="0.25">
      <c r="A14" s="2">
        <v>13</v>
      </c>
      <c r="B14" s="2" t="s">
        <v>11</v>
      </c>
      <c r="C14" s="3">
        <v>75</v>
      </c>
      <c r="D14" s="3">
        <v>78</v>
      </c>
      <c r="E14" s="3">
        <v>80</v>
      </c>
      <c r="F14" s="3">
        <f t="shared" si="2"/>
        <v>233</v>
      </c>
      <c r="G14" s="3">
        <f t="shared" si="0"/>
        <v>77.666666666666671</v>
      </c>
      <c r="H14" s="2"/>
      <c r="I14" s="2">
        <f t="shared" si="1"/>
        <v>9</v>
      </c>
    </row>
    <row r="15" spans="1:9" x14ac:dyDescent="0.25">
      <c r="A15" s="2">
        <v>14</v>
      </c>
      <c r="B15" s="2" t="s">
        <v>10</v>
      </c>
      <c r="C15" s="3">
        <v>62</v>
      </c>
      <c r="D15" s="3">
        <v>58</v>
      </c>
      <c r="E15" s="3">
        <v>65</v>
      </c>
      <c r="F15" s="3">
        <f t="shared" si="2"/>
        <v>185</v>
      </c>
      <c r="G15" s="3">
        <f t="shared" si="0"/>
        <v>61.666666666666664</v>
      </c>
      <c r="H15" s="2"/>
      <c r="I15" s="2">
        <f t="shared" si="1"/>
        <v>14</v>
      </c>
    </row>
    <row r="16" spans="1:9" x14ac:dyDescent="0.25">
      <c r="A16" s="2">
        <v>15</v>
      </c>
      <c r="B16" s="2" t="s">
        <v>18</v>
      </c>
      <c r="C16" s="3">
        <v>98</v>
      </c>
      <c r="D16" s="3">
        <v>95</v>
      </c>
      <c r="E16" s="3">
        <v>100</v>
      </c>
      <c r="F16" s="3">
        <f t="shared" si="2"/>
        <v>293</v>
      </c>
      <c r="G16" s="3">
        <f t="shared" si="0"/>
        <v>97.666666666666671</v>
      </c>
      <c r="H16" s="2"/>
      <c r="I16" s="2">
        <f t="shared" si="1"/>
        <v>1</v>
      </c>
    </row>
    <row r="17" spans="1:10" x14ac:dyDescent="0.25">
      <c r="B17" s="4" t="s">
        <v>24</v>
      </c>
      <c r="C17" s="3">
        <f>MIN(C2:C16)</f>
        <v>55</v>
      </c>
      <c r="D17" s="3">
        <f t="shared" ref="D17:E17" si="3">MIN(D2:D16)</f>
        <v>55</v>
      </c>
      <c r="E17" s="3">
        <f t="shared" si="3"/>
        <v>58</v>
      </c>
    </row>
    <row r="18" spans="1:10" x14ac:dyDescent="0.25">
      <c r="B18" s="4" t="s">
        <v>25</v>
      </c>
      <c r="C18" s="3">
        <f>MAX(C2:C16)</f>
        <v>98</v>
      </c>
      <c r="D18" s="3">
        <f t="shared" ref="D18:E18" si="4">MAX(D2:D16)</f>
        <v>95</v>
      </c>
      <c r="E18" s="3">
        <f t="shared" si="4"/>
        <v>100</v>
      </c>
    </row>
    <row r="19" spans="1:10" x14ac:dyDescent="0.25">
      <c r="B19" s="4" t="s">
        <v>26</v>
      </c>
      <c r="C19" s="3">
        <f>MEDIAN(C2:C16)</f>
        <v>78</v>
      </c>
      <c r="D19" s="3">
        <f t="shared" ref="D19:E19" si="5">MEDIAN(D2:D16)</f>
        <v>78</v>
      </c>
      <c r="E19" s="3">
        <f t="shared" si="5"/>
        <v>82</v>
      </c>
    </row>
    <row r="20" spans="1:10" x14ac:dyDescent="0.25">
      <c r="B20" s="4" t="s">
        <v>27</v>
      </c>
      <c r="C20" s="2">
        <f>MODE(C2:C16)</f>
        <v>65</v>
      </c>
      <c r="D20" s="2">
        <f t="shared" ref="D20:E20" si="6">MODE(D2:D16)</f>
        <v>78</v>
      </c>
      <c r="E20" s="2">
        <f t="shared" si="6"/>
        <v>80</v>
      </c>
    </row>
    <row r="25" spans="1:10" x14ac:dyDescent="0.25">
      <c r="A25" s="2" t="s">
        <v>0</v>
      </c>
      <c r="B25" s="2" t="s">
        <v>43</v>
      </c>
      <c r="C25" s="2" t="s">
        <v>44</v>
      </c>
      <c r="D25" s="2" t="s">
        <v>45</v>
      </c>
      <c r="E25" s="2" t="s">
        <v>46</v>
      </c>
      <c r="F25" s="2" t="s">
        <v>47</v>
      </c>
      <c r="G25" s="5" t="s">
        <v>8</v>
      </c>
      <c r="H25" s="5" t="s">
        <v>55</v>
      </c>
      <c r="I25" s="5" t="s">
        <v>56</v>
      </c>
      <c r="J25" s="15">
        <v>1</v>
      </c>
    </row>
    <row r="26" spans="1:10" x14ac:dyDescent="0.25">
      <c r="A26" s="2">
        <v>1</v>
      </c>
      <c r="B26" s="2" t="s">
        <v>42</v>
      </c>
      <c r="C26" s="6">
        <v>45000</v>
      </c>
      <c r="D26" s="3">
        <v>12</v>
      </c>
      <c r="E26" s="6">
        <f>C26*D26</f>
        <v>540000</v>
      </c>
      <c r="F26" s="2" t="str">
        <f>IF(E26&gt;100000,"Топ", IF(E26&gt;50000, "Средний", "Низкий"))</f>
        <v>Топ</v>
      </c>
      <c r="G26" s="2">
        <f>RANK(E26, $E$26:$E$40)</f>
        <v>1</v>
      </c>
      <c r="H26" s="2">
        <f>CORREL(C26:C40, D26:D40)</f>
        <v>-0.39694833806521035</v>
      </c>
      <c r="I26" s="14">
        <f>E26/($E$42/$J$25)</f>
        <v>0.28600180075207882</v>
      </c>
    </row>
    <row r="27" spans="1:10" x14ac:dyDescent="0.25">
      <c r="A27" s="2">
        <v>2</v>
      </c>
      <c r="B27" s="2" t="s">
        <v>41</v>
      </c>
      <c r="C27" s="6">
        <v>18000</v>
      </c>
      <c r="D27" s="3">
        <v>25</v>
      </c>
      <c r="E27" s="6">
        <f t="shared" ref="E27:E40" si="7">C27*D27</f>
        <v>450000</v>
      </c>
      <c r="F27" s="2" t="str">
        <f t="shared" ref="F27:F40" si="8">IF(E27&gt;100000,"Топ", IF(E27&gt;50000, "Средний", "Низкий"))</f>
        <v>Топ</v>
      </c>
      <c r="G27" s="2">
        <f t="shared" ref="G27:G40" si="9">RANK(E27, $E$26:$E$40)</f>
        <v>2</v>
      </c>
      <c r="H27" s="2"/>
      <c r="I27" s="14">
        <f t="shared" ref="I27:I40" si="10">E27/($E$42/$J$25)</f>
        <v>0.23833483396006566</v>
      </c>
    </row>
    <row r="28" spans="1:10" x14ac:dyDescent="0.25">
      <c r="A28" s="2">
        <v>3</v>
      </c>
      <c r="B28" s="2" t="s">
        <v>40</v>
      </c>
      <c r="C28" s="6">
        <v>1500</v>
      </c>
      <c r="D28" s="3">
        <v>60</v>
      </c>
      <c r="E28" s="6">
        <f t="shared" si="7"/>
        <v>90000</v>
      </c>
      <c r="F28" s="2" t="str">
        <f t="shared" si="8"/>
        <v>Средний</v>
      </c>
      <c r="G28" s="2">
        <f t="shared" si="9"/>
        <v>5</v>
      </c>
      <c r="H28" s="2"/>
      <c r="I28" s="14">
        <f t="shared" si="10"/>
        <v>4.7666966792013134E-2</v>
      </c>
    </row>
    <row r="29" spans="1:10" x14ac:dyDescent="0.25">
      <c r="A29" s="2">
        <v>4</v>
      </c>
      <c r="B29" s="2" t="s">
        <v>39</v>
      </c>
      <c r="C29" s="6">
        <v>800</v>
      </c>
      <c r="D29" s="3">
        <v>85</v>
      </c>
      <c r="E29" s="6">
        <f t="shared" si="7"/>
        <v>68000</v>
      </c>
      <c r="F29" s="2" t="str">
        <f t="shared" si="8"/>
        <v>Средний</v>
      </c>
      <c r="G29" s="2">
        <f t="shared" si="9"/>
        <v>9</v>
      </c>
      <c r="H29" s="2"/>
      <c r="I29" s="14">
        <f t="shared" si="10"/>
        <v>3.6015041576187699E-2</v>
      </c>
    </row>
    <row r="30" spans="1:10" x14ac:dyDescent="0.25">
      <c r="A30" s="2">
        <v>5</v>
      </c>
      <c r="B30" s="2" t="s">
        <v>38</v>
      </c>
      <c r="C30" s="6">
        <v>12000</v>
      </c>
      <c r="D30" s="3">
        <v>8</v>
      </c>
      <c r="E30" s="6">
        <f t="shared" si="7"/>
        <v>96000</v>
      </c>
      <c r="F30" s="2" t="str">
        <f t="shared" si="8"/>
        <v>Средний</v>
      </c>
      <c r="G30" s="2">
        <f t="shared" si="9"/>
        <v>4</v>
      </c>
      <c r="H30" s="2"/>
      <c r="I30" s="14">
        <f t="shared" si="10"/>
        <v>5.0844764578147343E-2</v>
      </c>
    </row>
    <row r="31" spans="1:10" x14ac:dyDescent="0.25">
      <c r="A31" s="2">
        <v>6</v>
      </c>
      <c r="B31" s="2" t="s">
        <v>37</v>
      </c>
      <c r="C31" s="6">
        <v>9000</v>
      </c>
      <c r="D31" s="3">
        <v>6</v>
      </c>
      <c r="E31" s="6">
        <f t="shared" si="7"/>
        <v>54000</v>
      </c>
      <c r="F31" s="2" t="str">
        <f t="shared" si="8"/>
        <v>Средний</v>
      </c>
      <c r="G31" s="2">
        <f t="shared" si="9"/>
        <v>12</v>
      </c>
      <c r="H31" s="2"/>
      <c r="I31" s="14">
        <f t="shared" si="10"/>
        <v>2.8600180075207881E-2</v>
      </c>
    </row>
    <row r="32" spans="1:10" x14ac:dyDescent="0.25">
      <c r="A32" s="2">
        <v>7</v>
      </c>
      <c r="B32" s="2" t="s">
        <v>36</v>
      </c>
      <c r="C32" s="6">
        <v>600</v>
      </c>
      <c r="D32" s="3">
        <v>120</v>
      </c>
      <c r="E32" s="6">
        <f t="shared" si="7"/>
        <v>72000</v>
      </c>
      <c r="F32" s="2" t="str">
        <f t="shared" si="8"/>
        <v>Средний</v>
      </c>
      <c r="G32" s="2">
        <f t="shared" si="9"/>
        <v>7</v>
      </c>
      <c r="H32" s="2"/>
      <c r="I32" s="14">
        <f t="shared" si="10"/>
        <v>3.8133573433610506E-2</v>
      </c>
    </row>
    <row r="33" spans="1:9" x14ac:dyDescent="0.25">
      <c r="A33" s="2">
        <v>8</v>
      </c>
      <c r="B33" s="2" t="s">
        <v>35</v>
      </c>
      <c r="C33" s="6">
        <v>5500</v>
      </c>
      <c r="D33" s="3">
        <v>15</v>
      </c>
      <c r="E33" s="6">
        <f t="shared" si="7"/>
        <v>82500</v>
      </c>
      <c r="F33" s="2" t="str">
        <f t="shared" si="8"/>
        <v>Средний</v>
      </c>
      <c r="G33" s="2">
        <f t="shared" si="9"/>
        <v>6</v>
      </c>
      <c r="H33" s="2"/>
      <c r="I33" s="14">
        <f t="shared" si="10"/>
        <v>4.3694719559345375E-2</v>
      </c>
    </row>
    <row r="34" spans="1:9" x14ac:dyDescent="0.25">
      <c r="A34" s="2">
        <v>9</v>
      </c>
      <c r="B34" s="2" t="s">
        <v>34</v>
      </c>
      <c r="C34" s="6">
        <v>2800</v>
      </c>
      <c r="D34" s="3">
        <v>22</v>
      </c>
      <c r="E34" s="6">
        <f t="shared" si="7"/>
        <v>61600</v>
      </c>
      <c r="F34" s="2" t="str">
        <f t="shared" si="8"/>
        <v>Средний</v>
      </c>
      <c r="G34" s="2">
        <f t="shared" si="9"/>
        <v>11</v>
      </c>
      <c r="H34" s="2"/>
      <c r="I34" s="14">
        <f t="shared" si="10"/>
        <v>3.2625390604311209E-2</v>
      </c>
    </row>
    <row r="35" spans="1:9" x14ac:dyDescent="0.25">
      <c r="A35" s="2">
        <v>10</v>
      </c>
      <c r="B35" s="2" t="s">
        <v>33</v>
      </c>
      <c r="C35" s="6">
        <v>3200</v>
      </c>
      <c r="D35" s="3">
        <v>35</v>
      </c>
      <c r="E35" s="6">
        <f t="shared" si="7"/>
        <v>112000</v>
      </c>
      <c r="F35" s="2" t="str">
        <f t="shared" si="8"/>
        <v>Топ</v>
      </c>
      <c r="G35" s="2">
        <f t="shared" si="9"/>
        <v>3</v>
      </c>
      <c r="H35" s="2"/>
      <c r="I35" s="14">
        <f t="shared" si="10"/>
        <v>5.9318892007838568E-2</v>
      </c>
    </row>
    <row r="36" spans="1:9" x14ac:dyDescent="0.25">
      <c r="A36" s="2">
        <v>11</v>
      </c>
      <c r="B36" s="2" t="s">
        <v>32</v>
      </c>
      <c r="C36" s="6">
        <v>400</v>
      </c>
      <c r="D36" s="3">
        <v>90</v>
      </c>
      <c r="E36" s="6">
        <f t="shared" si="7"/>
        <v>36000</v>
      </c>
      <c r="F36" s="2" t="str">
        <f t="shared" si="8"/>
        <v>Низкий</v>
      </c>
      <c r="G36" s="2">
        <f t="shared" si="9"/>
        <v>15</v>
      </c>
      <c r="H36" s="2"/>
      <c r="I36" s="14">
        <f t="shared" si="10"/>
        <v>1.9066786716805253E-2</v>
      </c>
    </row>
    <row r="37" spans="1:9" x14ac:dyDescent="0.25">
      <c r="A37" s="2">
        <v>12</v>
      </c>
      <c r="B37" s="2" t="s">
        <v>31</v>
      </c>
      <c r="C37" s="6">
        <v>1200</v>
      </c>
      <c r="D37" s="3">
        <v>40</v>
      </c>
      <c r="E37" s="6">
        <f t="shared" si="7"/>
        <v>48000</v>
      </c>
      <c r="F37" s="2" t="str">
        <f t="shared" si="8"/>
        <v>Низкий</v>
      </c>
      <c r="G37" s="2">
        <f t="shared" si="9"/>
        <v>13</v>
      </c>
      <c r="H37" s="2"/>
      <c r="I37" s="14">
        <f t="shared" si="10"/>
        <v>2.5422382289073672E-2</v>
      </c>
    </row>
    <row r="38" spans="1:9" x14ac:dyDescent="0.25">
      <c r="A38" s="2">
        <v>13</v>
      </c>
      <c r="B38" s="2" t="s">
        <v>30</v>
      </c>
      <c r="C38" s="6">
        <v>2500</v>
      </c>
      <c r="D38" s="3">
        <v>18</v>
      </c>
      <c r="E38" s="6">
        <f t="shared" si="7"/>
        <v>45000</v>
      </c>
      <c r="F38" s="2" t="str">
        <f t="shared" si="8"/>
        <v>Низкий</v>
      </c>
      <c r="G38" s="2">
        <f t="shared" si="9"/>
        <v>14</v>
      </c>
      <c r="H38" s="2"/>
      <c r="I38" s="14">
        <f t="shared" si="10"/>
        <v>2.3833483396006567E-2</v>
      </c>
    </row>
    <row r="39" spans="1:9" x14ac:dyDescent="0.25">
      <c r="A39" s="2">
        <v>14</v>
      </c>
      <c r="B39" s="2" t="s">
        <v>29</v>
      </c>
      <c r="C39" s="6">
        <v>350</v>
      </c>
      <c r="D39" s="3">
        <v>200</v>
      </c>
      <c r="E39" s="6">
        <f t="shared" si="7"/>
        <v>70000</v>
      </c>
      <c r="F39" s="2" t="str">
        <f t="shared" si="8"/>
        <v>Средний</v>
      </c>
      <c r="G39" s="2">
        <f t="shared" si="9"/>
        <v>8</v>
      </c>
      <c r="H39" s="2"/>
      <c r="I39" s="14">
        <f t="shared" si="10"/>
        <v>3.7074307504899102E-2</v>
      </c>
    </row>
    <row r="40" spans="1:9" x14ac:dyDescent="0.25">
      <c r="A40" s="2">
        <v>15</v>
      </c>
      <c r="B40" s="2" t="s">
        <v>28</v>
      </c>
      <c r="C40" s="6">
        <v>4500</v>
      </c>
      <c r="D40" s="3">
        <v>14</v>
      </c>
      <c r="E40" s="6">
        <f t="shared" si="7"/>
        <v>63000</v>
      </c>
      <c r="F40" s="2" t="str">
        <f t="shared" si="8"/>
        <v>Средний</v>
      </c>
      <c r="G40" s="2">
        <f t="shared" si="9"/>
        <v>10</v>
      </c>
      <c r="H40" s="2"/>
      <c r="I40" s="14">
        <f t="shared" si="10"/>
        <v>3.3366876754409192E-2</v>
      </c>
    </row>
    <row r="41" spans="1:9" x14ac:dyDescent="0.25">
      <c r="E41" s="7"/>
    </row>
    <row r="42" spans="1:9" x14ac:dyDescent="0.25">
      <c r="A42" s="13" t="s">
        <v>48</v>
      </c>
      <c r="B42" s="10"/>
      <c r="C42" s="10"/>
      <c r="D42" s="10"/>
      <c r="E42" s="11">
        <f>SUM(E26:E40)</f>
        <v>1888100</v>
      </c>
      <c r="F42" s="8">
        <f>COUNTIF($F$26:$F$40, "Топ")</f>
        <v>3</v>
      </c>
      <c r="G42" s="12" t="s">
        <v>52</v>
      </c>
    </row>
    <row r="43" spans="1:9" x14ac:dyDescent="0.25">
      <c r="A43" s="13" t="s">
        <v>49</v>
      </c>
      <c r="B43" s="10"/>
      <c r="C43" s="10"/>
      <c r="D43" s="10"/>
      <c r="E43" s="11">
        <f>AVERAGE(E26:E40)</f>
        <v>125873.33333333333</v>
      </c>
      <c r="F43" s="9">
        <f>SUMIF($F$26:$F$40, "Топ", $E$26:$E$40)</f>
        <v>1102000</v>
      </c>
      <c r="G43" s="12" t="s">
        <v>53</v>
      </c>
    </row>
    <row r="44" spans="1:9" x14ac:dyDescent="0.25">
      <c r="A44" s="13" t="s">
        <v>26</v>
      </c>
      <c r="B44" s="10"/>
      <c r="C44" s="10"/>
      <c r="D44" s="10"/>
      <c r="E44" s="11">
        <f>MEDIAN(E26:E40)</f>
        <v>70000</v>
      </c>
      <c r="F44" s="9">
        <f>AVERAGEIF($F26:$F40, "Средний", $E$26:$E$40)</f>
        <v>73011.111111111109</v>
      </c>
      <c r="G44" s="12" t="s">
        <v>54</v>
      </c>
    </row>
    <row r="45" spans="1:9" x14ac:dyDescent="0.25">
      <c r="A45" s="13" t="s">
        <v>27</v>
      </c>
      <c r="B45" s="10"/>
      <c r="C45" s="10"/>
      <c r="D45" s="10"/>
      <c r="E45" s="11" t="e">
        <f>MODE(E26:E40)</f>
        <v>#N/A</v>
      </c>
    </row>
    <row r="46" spans="1:9" x14ac:dyDescent="0.25">
      <c r="A46" s="13" t="s">
        <v>24</v>
      </c>
      <c r="B46" s="10"/>
      <c r="C46" s="10"/>
      <c r="D46" s="10"/>
      <c r="E46" s="11">
        <f>MIN(E26:E40)</f>
        <v>36000</v>
      </c>
    </row>
    <row r="47" spans="1:9" x14ac:dyDescent="0.25">
      <c r="A47" s="13" t="s">
        <v>25</v>
      </c>
      <c r="B47" s="10"/>
      <c r="C47" s="10"/>
      <c r="D47" s="10"/>
      <c r="E47" s="11">
        <f>MAX(E26:E40)</f>
        <v>540000</v>
      </c>
    </row>
    <row r="48" spans="1:9" x14ac:dyDescent="0.25">
      <c r="A48" s="13" t="s">
        <v>50</v>
      </c>
      <c r="B48" s="10"/>
      <c r="C48" s="10"/>
      <c r="D48" s="10"/>
      <c r="E48" s="11">
        <f>STDEV(E26:E40)</f>
        <v>152155.31757604354</v>
      </c>
    </row>
    <row r="49" spans="1:5" x14ac:dyDescent="0.25">
      <c r="A49" s="13" t="s">
        <v>51</v>
      </c>
      <c r="B49" s="10"/>
      <c r="C49" s="10"/>
      <c r="D49" s="10"/>
      <c r="E49" s="11">
        <f>VAR(E26:E40)</f>
        <v>23151240666.666668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2026-09-30T11:42:49Z</dcterms:modified>
</cp:coreProperties>
</file>